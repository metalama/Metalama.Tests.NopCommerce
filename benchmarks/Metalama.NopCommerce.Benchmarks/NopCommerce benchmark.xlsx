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Metalama.Tests.NopCommerce\benchmarks\Metalama.NopCommerce.Benchmarks\"/>
    </mc:Choice>
  </mc:AlternateContent>
  <xr:revisionPtr revIDLastSave="0" documentId="8_{C4FFEDDD-81BB-40BB-AB47-F70D9BDD5A93}" xr6:coauthVersionLast="47" xr6:coauthVersionMax="47" xr10:uidLastSave="{00000000-0000-0000-0000-000000000000}"/>
  <bookViews>
    <workbookView xWindow="38290" yWindow="-260" windowWidth="38620" windowHeight="21220" activeTab="3" xr2:uid="{C997E746-4C92-40B9-97E0-CDF6F94A4B39}"/>
  </bookViews>
  <sheets>
    <sheet name="Sheet1" sheetId="1" r:id="rId1"/>
    <sheet name="Chart1" sheetId="2" r:id="rId2"/>
    <sheet name="Chart2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B21" i="4"/>
  <c r="B22" i="4"/>
  <c r="B23" i="4"/>
  <c r="B24" i="4"/>
  <c r="B25" i="4"/>
  <c r="B26" i="4"/>
  <c r="B27" i="4"/>
  <c r="B28" i="4"/>
  <c r="B29" i="4"/>
  <c r="B30" i="4"/>
  <c r="B19" i="4"/>
  <c r="A20" i="4"/>
  <c r="C20" i="4"/>
  <c r="A21" i="4"/>
  <c r="C21" i="4"/>
  <c r="A22" i="4"/>
  <c r="C22" i="4"/>
  <c r="A23" i="4"/>
  <c r="C23" i="4"/>
  <c r="A24" i="4"/>
  <c r="C24" i="4"/>
  <c r="A25" i="4"/>
  <c r="C25" i="4"/>
  <c r="A26" i="4"/>
  <c r="C26" i="4"/>
  <c r="A27" i="4"/>
  <c r="C27" i="4"/>
  <c r="A28" i="4"/>
  <c r="C28" i="4"/>
  <c r="A29" i="4"/>
  <c r="C29" i="4"/>
  <c r="A30" i="4"/>
  <c r="C30" i="4"/>
  <c r="A19" i="4"/>
  <c r="C19" i="4"/>
</calcChain>
</file>

<file path=xl/sharedStrings.xml><?xml version="1.0" encoding="utf-8"?>
<sst xmlns="http://schemas.openxmlformats.org/spreadsheetml/2006/main" count="83" uniqueCount="45">
  <si>
    <t>1 % types</t>
  </si>
  <si>
    <t>10 % types</t>
  </si>
  <si>
    <t>50 % types</t>
  </si>
  <si>
    <t>100 % types</t>
  </si>
  <si>
    <t>10 % members</t>
  </si>
  <si>
    <t>50 % members</t>
  </si>
  <si>
    <t>100 % members</t>
  </si>
  <si>
    <t>Types</t>
  </si>
  <si>
    <t>Members</t>
  </si>
  <si>
    <t>Ratio</t>
  </si>
  <si>
    <t>Method</t>
  </si>
  <si>
    <t>benchmarkedTypesPercentage</t>
  </si>
  <si>
    <t>benchmarkedMembersPercentage</t>
  </si>
  <si>
    <t>Mean</t>
  </si>
  <si>
    <t>Error</t>
  </si>
  <si>
    <t>StdDev</t>
  </si>
  <si>
    <t>RatioSD</t>
  </si>
  <si>
    <t>WithoutMetalama</t>
  </si>
  <si>
    <t>?</t>
  </si>
  <si>
    <t>WithMetalama</t>
  </si>
  <si>
    <t>0.294 s</t>
  </si>
  <si>
    <t>0.275 s</t>
  </si>
  <si>
    <t>0.581 s</t>
  </si>
  <si>
    <t>0.544 s</t>
  </si>
  <si>
    <t>0.487 s</t>
  </si>
  <si>
    <t>0.456 s</t>
  </si>
  <si>
    <t>0.348 s</t>
  </si>
  <si>
    <t>0.309 s</t>
  </si>
  <si>
    <t>0.378 s</t>
  </si>
  <si>
    <t>0.353 s</t>
  </si>
  <si>
    <t>0.324 s</t>
  </si>
  <si>
    <t>0.303 s</t>
  </si>
  <si>
    <t>0.454 s</t>
  </si>
  <si>
    <t>0.425 s</t>
  </si>
  <si>
    <t>0.321 s</t>
  </si>
  <si>
    <t>0.301 s</t>
  </si>
  <si>
    <t>0.329 s</t>
  </si>
  <si>
    <t>0.308 s</t>
  </si>
  <si>
    <t>0.418 s</t>
  </si>
  <si>
    <t>0.391 s</t>
  </si>
  <si>
    <t>0.478 s</t>
  </si>
  <si>
    <t>0.447 s</t>
  </si>
  <si>
    <t>0.384 s</t>
  </si>
  <si>
    <t>0.360 s</t>
  </si>
  <si>
    <t>0.468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</si>
</sst>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2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by</a:t>
            </a:r>
            <a:r>
              <a:rPr lang="en-US" baseline="0"/>
              <a:t> member percentage affected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1 % types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Sheet1!$B$1:$D$1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xVal>
          <c:yVal>
            <c:numRef>
              <c:f>Sheet1!$B$2:$D$2</c:f>
              <c:numCache>
                <c:formatCode>General</c:formatCode>
                <c:ptCount val="3"/>
                <c:pt idx="0">
                  <c:v>1.4179999999999999</c:v>
                </c:pt>
                <c:pt idx="1">
                  <c:v>1.417</c:v>
                </c:pt>
                <c:pt idx="2">
                  <c:v>1.43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FD-4836-B115-F09CA937D85B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10 % types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Sheet1!$B$1:$D$1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xVal>
          <c:yVal>
            <c:numRef>
              <c:f>Sheet1!$B$3:$D$3</c:f>
              <c:numCache>
                <c:formatCode>General</c:formatCode>
                <c:ptCount val="3"/>
                <c:pt idx="0">
                  <c:v>1.4430000000000001</c:v>
                </c:pt>
                <c:pt idx="1">
                  <c:v>1.48</c:v>
                </c:pt>
                <c:pt idx="2">
                  <c:v>1.5189999999999999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FD-4836-B115-F09CA937D85B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50 % types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Sheet1!$B$1:$D$1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xVal>
          <c:yVal>
            <c:numRef>
              <c:f>Sheet1!$B$4:$D$4</c:f>
              <c:numCache>
                <c:formatCode>General</c:formatCode>
                <c:ptCount val="3"/>
                <c:pt idx="0">
                  <c:v>1.5880000000000001</c:v>
                </c:pt>
                <c:pt idx="1">
                  <c:v>1.7190000000000001</c:v>
                </c:pt>
                <c:pt idx="2">
                  <c:v>1.88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FD-4836-B115-F09CA937D85B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100 % types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Sheet1!$B$1:$D$1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xVal>
          <c:yVal>
            <c:numRef>
              <c:f>Sheet1!$B$5:$D$5</c:f>
              <c:numCache>
                <c:formatCode>General</c:formatCode>
                <c:ptCount val="3"/>
                <c:pt idx="0">
                  <c:v>1.752</c:v>
                </c:pt>
                <c:pt idx="1">
                  <c:v>2.0070000000000001</c:v>
                </c:pt>
                <c:pt idx="2">
                  <c:v>2.4140000000000001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FD-4836-B115-F09CA937D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673168"/>
        <c:axId val="1679683248"/>
      </c:scatterChart>
      <c:valAx>
        <c:axId val="167967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83248"/>
        <c:crosses val="autoZero"/>
        <c:crossBetween val="midCat"/>
      </c:valAx>
      <c:valAx>
        <c:axId val="167968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7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Performance by type percentage affected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10 % members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Sheet1!$B$7:$E$7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xVal>
          <c:yVal>
            <c:numRef>
              <c:f>Sheet1!$B$8:$E$8</c:f>
              <c:numCache>
                <c:formatCode>General</c:formatCode>
                <c:ptCount val="4"/>
                <c:pt idx="0">
                  <c:v>1.4179999999999999</c:v>
                </c:pt>
                <c:pt idx="1">
                  <c:v>1.4430000000000001</c:v>
                </c:pt>
                <c:pt idx="2">
                  <c:v>1.5880000000000001</c:v>
                </c:pt>
                <c:pt idx="3">
                  <c:v>1.752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A-4D77-883B-1C00D7134826}"/>
            </c:ext>
          </c:extLst>
        </c:ser>
        <c:ser>
          <c:idx val="1"/>
          <c:order val="1"/>
          <c:tx>
            <c:strRef>
              <c:f>Sheet1!$A$9</c:f>
              <c:strCache>
                <c:ptCount val="1"/>
                <c:pt idx="0">
                  <c:v>50 % members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Sheet1!$B$7:$E$7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xVal>
          <c:yVal>
            <c:numRef>
              <c:f>Sheet1!$B$9:$E$9</c:f>
              <c:numCache>
                <c:formatCode>General</c:formatCode>
                <c:ptCount val="4"/>
                <c:pt idx="0">
                  <c:v>1.417</c:v>
                </c:pt>
                <c:pt idx="1">
                  <c:v>1.48</c:v>
                </c:pt>
                <c:pt idx="2">
                  <c:v>1.7190000000000001</c:v>
                </c:pt>
                <c:pt idx="3">
                  <c:v>2.0070000000000001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A-4D77-883B-1C00D7134826}"/>
            </c:ext>
          </c:extLst>
        </c:ser>
        <c:ser>
          <c:idx val="2"/>
          <c:order val="2"/>
          <c:tx>
            <c:strRef>
              <c:f>Sheet1!$A$10</c:f>
              <c:strCache>
                <c:ptCount val="1"/>
                <c:pt idx="0">
                  <c:v>100 % members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Sheet1!$B$7:$E$7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</c:numCache>
            </c:numRef>
          </c:xVal>
          <c:yVal>
            <c:numRef>
              <c:f>Sheet1!$B$10:$E$10</c:f>
              <c:numCache>
                <c:formatCode>General</c:formatCode>
                <c:ptCount val="4"/>
                <c:pt idx="0">
                  <c:v>1.43</c:v>
                </c:pt>
                <c:pt idx="1">
                  <c:v>1.5189999999999999</c:v>
                </c:pt>
                <c:pt idx="2">
                  <c:v>1.88</c:v>
                </c:pt>
                <c:pt idx="3">
                  <c:v>2.4140000000000001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3A-4D77-883B-1C00D7134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432576"/>
        <c:axId val="1675426816"/>
      </c:scatterChart>
      <c:valAx>
        <c:axId val="167543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426816"/>
        <c:crosses val="autoZero"/>
        <c:crossBetween val="midCat"/>
      </c:valAx>
      <c:valAx>
        <c:axId val="16754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432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5B1D14-3167-45D9-8D40-500F8B043639}">
  <sheetPr/>
  <sheetViews>
    <sheetView zoomScale="200" workbookViewId="0"/>
  </sheetViews>
  <pageMargins left="0.7" right="0.7" top="0.75" bottom="0.75" header="0.3" footer="0.3"/>
  <pageSetup paperSize="11" orientation="landscape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4697CB-3FD4-4A0F-9BB3-89B81D6538E5}">
  <sheetPr/>
  <sheetViews>
    <sheetView zoomScale="200" workbookViewId="0"/>
  </sheetViews>
  <pageMargins left="0.7" right="0.7" top="0.75" bottom="0.75" header="0.3" footer="0.3"/>
  <pageSetup paperSize="11" orientation="landscape" verticalDpi="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146800" cy="3822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06E192-9061-3D05-B869-361399974D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146800" cy="3822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B2D21-42F2-CFF7-6A6A-BE6DFFC2B1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13E3-6F89-40AE-8A93-59BFBDFC3295}">
  <dimension ref="A1:E10"/>
  <sheetViews>
    <sheetView workbookViewId="0">
      <selection activeCell="D7" sqref="D7"/>
    </sheetView>
  </sheetViews>
  <sheetFormatPr defaultRowHeight="14.5" x14ac:dyDescent="0.35"/>
  <sheetData>
    <row r="1" spans="1:5" x14ac:dyDescent="0.35">
      <c r="B1">
        <v>10</v>
      </c>
      <c r="C1">
        <v>50</v>
      </c>
      <c r="D1">
        <v>100</v>
      </c>
    </row>
    <row r="2" spans="1:5" x14ac:dyDescent="0.35">
      <c r="A2" t="s">
        <v>0</v>
      </c>
      <c r="B2">
        <v>1.4179999999999999</v>
      </c>
      <c r="C2">
        <v>1.417</v>
      </c>
      <c r="D2">
        <v>1.43</v>
      </c>
    </row>
    <row r="3" spans="1:5" x14ac:dyDescent="0.35">
      <c r="A3" t="s">
        <v>1</v>
      </c>
      <c r="B3">
        <v>1.4430000000000001</v>
      </c>
      <c r="C3">
        <v>1.48</v>
      </c>
      <c r="D3">
        <v>1.5189999999999999</v>
      </c>
    </row>
    <row r="4" spans="1:5" x14ac:dyDescent="0.35">
      <c r="A4" t="s">
        <v>2</v>
      </c>
      <c r="B4">
        <v>1.5880000000000001</v>
      </c>
      <c r="C4">
        <v>1.7190000000000001</v>
      </c>
      <c r="D4">
        <v>1.88</v>
      </c>
    </row>
    <row r="5" spans="1:5" x14ac:dyDescent="0.35">
      <c r="A5" t="s">
        <v>3</v>
      </c>
      <c r="B5">
        <v>1.752</v>
      </c>
      <c r="C5">
        <v>2.0070000000000001</v>
      </c>
      <c r="D5">
        <v>2.4140000000000001</v>
      </c>
    </row>
    <row r="7" spans="1:5" x14ac:dyDescent="0.35">
      <c r="B7">
        <v>1</v>
      </c>
      <c r="C7">
        <v>10</v>
      </c>
      <c r="D7">
        <v>50</v>
      </c>
      <c r="E7">
        <v>100</v>
      </c>
    </row>
    <row r="8" spans="1:5" x14ac:dyDescent="0.35">
      <c r="A8" t="s">
        <v>4</v>
      </c>
      <c r="B8">
        <v>1.4179999999999999</v>
      </c>
      <c r="C8">
        <v>1.4430000000000001</v>
      </c>
      <c r="D8">
        <v>1.5880000000000001</v>
      </c>
      <c r="E8">
        <v>1.752</v>
      </c>
    </row>
    <row r="9" spans="1:5" x14ac:dyDescent="0.35">
      <c r="A9" t="s">
        <v>5</v>
      </c>
      <c r="B9">
        <v>1.417</v>
      </c>
      <c r="C9">
        <v>1.48</v>
      </c>
      <c r="D9">
        <v>1.7190000000000001</v>
      </c>
      <c r="E9">
        <v>2.0070000000000001</v>
      </c>
    </row>
    <row r="10" spans="1:5" x14ac:dyDescent="0.35">
      <c r="A10" t="s">
        <v>6</v>
      </c>
      <c r="B10">
        <v>1.43</v>
      </c>
      <c r="C10">
        <v>1.5189999999999999</v>
      </c>
      <c r="D10">
        <v>1.88</v>
      </c>
      <c r="E10">
        <v>2.4140000000000001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FB78-E951-4961-8EE6-4DEF3FA64295}">
  <dimension ref="A1:H30"/>
  <sheetViews>
    <sheetView tabSelected="1" workbookViewId="0"/>
  </sheetViews>
  <sheetFormatPr defaultRowHeight="14.5" x14ac:dyDescent="0.35"/>
  <cols>
    <col min="1" max="1" width="15.36328125" bestFit="1" customWidth="1"/>
    <col min="2" max="2" width="26.1796875" bestFit="1" customWidth="1"/>
    <col min="3" max="3" width="29.08984375" bestFit="1" customWidth="1"/>
    <col min="4" max="4" width="8.81640625" style="2"/>
  </cols>
  <sheetData>
    <row r="1" spans="1:8" x14ac:dyDescent="0.35">
      <c r="A1" t="s">
        <v>10</v>
      </c>
      <c r="B1" t="s">
        <v>11</v>
      </c>
      <c r="C1" t="s">
        <v>12</v>
      </c>
      <c r="D1" s="2" t="s">
        <v>13</v>
      </c>
      <c r="E1" t="s">
        <v>14</v>
      </c>
      <c r="F1" t="s">
        <v>15</v>
      </c>
      <c r="G1" t="s">
        <v>9</v>
      </c>
      <c r="H1" t="s">
        <v>16</v>
      </c>
    </row>
    <row r="2" spans="1:8" x14ac:dyDescent="0.35">
      <c r="A2" t="s">
        <v>17</v>
      </c>
      <c r="B2" t="s">
        <v>18</v>
      </c>
      <c r="C2" t="s">
        <v>18</v>
      </c>
      <c r="D2" s="2">
        <v>30.74</v>
      </c>
      <c r="E2" t="s">
        <v>20</v>
      </c>
      <c r="F2" t="s">
        <v>21</v>
      </c>
      <c r="G2">
        <v>1</v>
      </c>
      <c r="H2">
        <v>0</v>
      </c>
    </row>
    <row r="3" spans="1:8" x14ac:dyDescent="0.35">
      <c r="A3" t="s">
        <v>19</v>
      </c>
      <c r="B3">
        <v>1</v>
      </c>
      <c r="C3">
        <v>10</v>
      </c>
      <c r="D3" s="2">
        <v>38.31</v>
      </c>
      <c r="E3" t="s">
        <v>22</v>
      </c>
      <c r="F3" t="s">
        <v>23</v>
      </c>
      <c r="G3" t="s">
        <v>18</v>
      </c>
      <c r="H3" t="s">
        <v>18</v>
      </c>
    </row>
    <row r="4" spans="1:8" x14ac:dyDescent="0.35">
      <c r="A4" t="s">
        <v>19</v>
      </c>
      <c r="B4">
        <v>1</v>
      </c>
      <c r="C4">
        <v>50</v>
      </c>
      <c r="D4" s="2">
        <v>38.270000000000003</v>
      </c>
      <c r="E4" t="s">
        <v>24</v>
      </c>
      <c r="F4" t="s">
        <v>25</v>
      </c>
      <c r="G4" t="s">
        <v>18</v>
      </c>
      <c r="H4" t="s">
        <v>18</v>
      </c>
    </row>
    <row r="5" spans="1:8" x14ac:dyDescent="0.35">
      <c r="A5" t="s">
        <v>19</v>
      </c>
      <c r="B5">
        <v>1</v>
      </c>
      <c r="C5">
        <v>100</v>
      </c>
      <c r="D5" s="2">
        <v>38.229999999999997</v>
      </c>
      <c r="E5" t="s">
        <v>26</v>
      </c>
      <c r="F5" t="s">
        <v>27</v>
      </c>
      <c r="G5" t="s">
        <v>18</v>
      </c>
      <c r="H5" t="s">
        <v>18</v>
      </c>
    </row>
    <row r="6" spans="1:8" x14ac:dyDescent="0.35">
      <c r="A6" t="s">
        <v>19</v>
      </c>
      <c r="B6">
        <v>10</v>
      </c>
      <c r="C6">
        <v>10</v>
      </c>
      <c r="D6" s="2">
        <v>38.86</v>
      </c>
      <c r="E6" t="s">
        <v>28</v>
      </c>
      <c r="F6" t="s">
        <v>29</v>
      </c>
      <c r="G6" t="s">
        <v>18</v>
      </c>
      <c r="H6" t="s">
        <v>18</v>
      </c>
    </row>
    <row r="7" spans="1:8" x14ac:dyDescent="0.35">
      <c r="A7" t="s">
        <v>19</v>
      </c>
      <c r="B7">
        <v>10</v>
      </c>
      <c r="C7">
        <v>50</v>
      </c>
      <c r="D7" s="2">
        <v>39.049999999999997</v>
      </c>
      <c r="E7" t="s">
        <v>30</v>
      </c>
      <c r="F7" t="s">
        <v>31</v>
      </c>
      <c r="G7" t="s">
        <v>18</v>
      </c>
      <c r="H7" t="s">
        <v>18</v>
      </c>
    </row>
    <row r="8" spans="1:8" x14ac:dyDescent="0.35">
      <c r="A8" t="s">
        <v>19</v>
      </c>
      <c r="B8">
        <v>10</v>
      </c>
      <c r="C8">
        <v>100</v>
      </c>
      <c r="D8" s="2">
        <v>39.53</v>
      </c>
      <c r="E8" t="s">
        <v>32</v>
      </c>
      <c r="F8" t="s">
        <v>33</v>
      </c>
      <c r="G8" t="s">
        <v>18</v>
      </c>
      <c r="H8" t="s">
        <v>18</v>
      </c>
    </row>
    <row r="9" spans="1:8" x14ac:dyDescent="0.35">
      <c r="A9" t="s">
        <v>19</v>
      </c>
      <c r="B9">
        <v>50</v>
      </c>
      <c r="C9">
        <v>10</v>
      </c>
      <c r="D9" s="2">
        <v>39.78</v>
      </c>
      <c r="E9" t="s">
        <v>34</v>
      </c>
      <c r="F9" t="s">
        <v>35</v>
      </c>
      <c r="G9" t="s">
        <v>18</v>
      </c>
      <c r="H9" t="s">
        <v>18</v>
      </c>
    </row>
    <row r="10" spans="1:8" x14ac:dyDescent="0.35">
      <c r="A10" t="s">
        <v>19</v>
      </c>
      <c r="B10">
        <v>50</v>
      </c>
      <c r="C10">
        <v>50</v>
      </c>
      <c r="D10" s="2">
        <v>41.55</v>
      </c>
      <c r="E10" t="s">
        <v>36</v>
      </c>
      <c r="F10" t="s">
        <v>37</v>
      </c>
      <c r="G10" t="s">
        <v>18</v>
      </c>
      <c r="H10" t="s">
        <v>18</v>
      </c>
    </row>
    <row r="11" spans="1:8" x14ac:dyDescent="0.35">
      <c r="A11" t="s">
        <v>19</v>
      </c>
      <c r="B11">
        <v>50</v>
      </c>
      <c r="C11">
        <v>100</v>
      </c>
      <c r="D11" s="2">
        <v>43.71</v>
      </c>
      <c r="E11" t="s">
        <v>38</v>
      </c>
      <c r="F11" t="s">
        <v>39</v>
      </c>
      <c r="G11" t="s">
        <v>18</v>
      </c>
      <c r="H11" t="s">
        <v>18</v>
      </c>
    </row>
    <row r="12" spans="1:8" x14ac:dyDescent="0.35">
      <c r="A12" t="s">
        <v>19</v>
      </c>
      <c r="B12">
        <v>100</v>
      </c>
      <c r="C12">
        <v>10</v>
      </c>
      <c r="D12" s="2">
        <v>40.74</v>
      </c>
      <c r="E12" t="s">
        <v>40</v>
      </c>
      <c r="F12" t="s">
        <v>41</v>
      </c>
      <c r="G12" t="s">
        <v>18</v>
      </c>
      <c r="H12" t="s">
        <v>18</v>
      </c>
    </row>
    <row r="13" spans="1:8" x14ac:dyDescent="0.35">
      <c r="A13" t="s">
        <v>19</v>
      </c>
      <c r="B13">
        <v>100</v>
      </c>
      <c r="C13">
        <v>50</v>
      </c>
      <c r="D13" s="2">
        <v>44.71</v>
      </c>
      <c r="E13" t="s">
        <v>42</v>
      </c>
      <c r="F13" t="s">
        <v>43</v>
      </c>
      <c r="G13" t="s">
        <v>18</v>
      </c>
      <c r="H13" t="s">
        <v>18</v>
      </c>
    </row>
    <row r="14" spans="1:8" x14ac:dyDescent="0.35">
      <c r="A14" t="s">
        <v>19</v>
      </c>
      <c r="B14">
        <v>100</v>
      </c>
      <c r="C14">
        <v>100</v>
      </c>
      <c r="D14" s="2">
        <v>48.79</v>
      </c>
      <c r="E14" t="s">
        <v>44</v>
      </c>
      <c r="F14" t="s">
        <v>39</v>
      </c>
      <c r="G14" t="s">
        <v>18</v>
      </c>
      <c r="H14" t="s">
        <v>18</v>
      </c>
    </row>
    <row r="18" spans="1:3" x14ac:dyDescent="0.35">
      <c r="A18" s="1" t="s">
        <v>7</v>
      </c>
      <c r="B18" s="1" t="s">
        <v>8</v>
      </c>
      <c r="C18" s="1" t="s">
        <v>9</v>
      </c>
    </row>
    <row r="19" spans="1:3" x14ac:dyDescent="0.35">
      <c r="A19" s="1">
        <f>B3/100</f>
        <v>0.01</v>
      </c>
      <c r="B19" s="3">
        <f>(C3/100)*(B3/100)</f>
        <v>1E-3</v>
      </c>
      <c r="C19" s="4">
        <f>D3/D$2</f>
        <v>1.2462589459986988</v>
      </c>
    </row>
    <row r="20" spans="1:3" x14ac:dyDescent="0.35">
      <c r="A20" s="1">
        <f t="shared" ref="A20" si="0">B4/100</f>
        <v>0.01</v>
      </c>
      <c r="B20" s="3">
        <f t="shared" ref="B20:B30" si="1">(C4/100)*(B4/100)</f>
        <v>5.0000000000000001E-3</v>
      </c>
      <c r="C20" s="4">
        <f t="shared" ref="C20:C30" si="2">D4/D$2</f>
        <v>1.2449577098243332</v>
      </c>
    </row>
    <row r="21" spans="1:3" x14ac:dyDescent="0.35">
      <c r="A21" s="1">
        <f t="shared" ref="A21" si="3">B5/100</f>
        <v>0.01</v>
      </c>
      <c r="B21" s="3">
        <f t="shared" si="1"/>
        <v>0.01</v>
      </c>
      <c r="C21" s="4">
        <f t="shared" si="2"/>
        <v>1.2436564736499673</v>
      </c>
    </row>
    <row r="22" spans="1:3" x14ac:dyDescent="0.35">
      <c r="A22" s="1">
        <f t="shared" ref="A22" si="4">B6/100</f>
        <v>0.1</v>
      </c>
      <c r="B22" s="3">
        <f t="shared" si="1"/>
        <v>1.0000000000000002E-2</v>
      </c>
      <c r="C22" s="4">
        <f t="shared" si="2"/>
        <v>1.2641509433962264</v>
      </c>
    </row>
    <row r="23" spans="1:3" x14ac:dyDescent="0.35">
      <c r="A23" s="1">
        <f t="shared" ref="A23" si="5">B7/100</f>
        <v>0.1</v>
      </c>
      <c r="B23" s="3">
        <f t="shared" si="1"/>
        <v>0.05</v>
      </c>
      <c r="C23" s="4">
        <f t="shared" si="2"/>
        <v>1.2703318152244631</v>
      </c>
    </row>
    <row r="24" spans="1:3" x14ac:dyDescent="0.35">
      <c r="A24" s="1">
        <f t="shared" ref="A24" si="6">B8/100</f>
        <v>0.1</v>
      </c>
      <c r="B24" s="3">
        <f t="shared" si="1"/>
        <v>0.1</v>
      </c>
      <c r="C24" s="4">
        <f t="shared" si="2"/>
        <v>1.2859466493168512</v>
      </c>
    </row>
    <row r="25" spans="1:3" x14ac:dyDescent="0.35">
      <c r="A25" s="1">
        <f t="shared" ref="A25" si="7">B9/100</f>
        <v>0.5</v>
      </c>
      <c r="B25" s="3">
        <f t="shared" si="1"/>
        <v>0.05</v>
      </c>
      <c r="C25" s="4">
        <f t="shared" si="2"/>
        <v>1.2940793754066364</v>
      </c>
    </row>
    <row r="26" spans="1:3" x14ac:dyDescent="0.35">
      <c r="A26" s="1">
        <f t="shared" ref="A26" si="8">B10/100</f>
        <v>0.5</v>
      </c>
      <c r="B26" s="3">
        <f t="shared" si="1"/>
        <v>0.25</v>
      </c>
      <c r="C26" s="4">
        <f t="shared" si="2"/>
        <v>1.3516590761223162</v>
      </c>
    </row>
    <row r="27" spans="1:3" x14ac:dyDescent="0.35">
      <c r="A27" s="1">
        <f t="shared" ref="A27" si="9">B11/100</f>
        <v>0.5</v>
      </c>
      <c r="B27" s="3">
        <f t="shared" si="1"/>
        <v>0.5</v>
      </c>
      <c r="C27" s="4">
        <f t="shared" si="2"/>
        <v>1.4219258295380612</v>
      </c>
    </row>
    <row r="28" spans="1:3" x14ac:dyDescent="0.35">
      <c r="A28" s="1">
        <f t="shared" ref="A28" si="10">B12/100</f>
        <v>1</v>
      </c>
      <c r="B28" s="3">
        <f t="shared" si="1"/>
        <v>0.1</v>
      </c>
      <c r="C28" s="4">
        <f t="shared" si="2"/>
        <v>1.3253090435914119</v>
      </c>
    </row>
    <row r="29" spans="1:3" x14ac:dyDescent="0.35">
      <c r="A29" s="1">
        <f t="shared" ref="A29" si="11">B13/100</f>
        <v>1</v>
      </c>
      <c r="B29" s="3">
        <f t="shared" si="1"/>
        <v>0.5</v>
      </c>
      <c r="C29" s="4">
        <f t="shared" si="2"/>
        <v>1.4544567338972025</v>
      </c>
    </row>
    <row r="30" spans="1:3" x14ac:dyDescent="0.35">
      <c r="A30" s="1">
        <f t="shared" ref="A30" si="12">B14/100</f>
        <v>1</v>
      </c>
      <c r="B30" s="3">
        <f t="shared" si="1"/>
        <v>1</v>
      </c>
      <c r="C30" s="4">
        <f t="shared" si="2"/>
        <v>1.5871828236824985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Sheet1</vt:lpstr>
      <vt:lpstr>Sheet2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Onderka</dc:creator>
  <cp:lastModifiedBy>Petr Onderka</cp:lastModifiedBy>
  <dcterms:created xsi:type="dcterms:W3CDTF">2024-04-10T15:59:25Z</dcterms:created>
  <dcterms:modified xsi:type="dcterms:W3CDTF">2025-02-24T10:30:42Z</dcterms:modified>
</cp:coreProperties>
</file>